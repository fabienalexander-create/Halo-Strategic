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mpaign Summary" sheetId="2" state="visible" r:id="rId4"/>
    <sheet name="Leads" sheetId="3" state="visible" r:id="rId5"/>
    <sheet name="Qualified Lead Crite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<sst xmlns="http://schemas.openxmlformats.org/spreadsheetml/2006/main" count="102" uniqueCount="94">
  <si>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Halo Strategic — LinkedIn Free Website Review Campaign</t>
  </si>
  <si>
    <t xml:space="preserve">Qualified-lead tracker. Source: docs/LINKEDIN_LEAD_GEN_CAMPAIGN.md. Fill in yellow cells only; everything else is a formula.</t>
  </si>
  <si>
    <t xml:space="preserve">Funnel totals</t>
  </si>
  <si>
    <t xml:space="preserve">Metric</t>
  </si>
  <si>
    <t xml:space="preserve">Value</t>
  </si>
  <si>
    <t xml:space="preserve">Notes</t>
  </si>
  <si>
    <t xml:space="preserve">Total spend (£)</t>
  </si>
  <si>
    <t xml:space="preserve">Sum of both creatives, from Campaign Summary</t>
  </si>
  <si>
    <t xml:space="preserve">Total leads</t>
  </si>
  <si>
    <t xml:space="preserve">Form submissions, from Campaign Summary</t>
  </si>
  <si>
    <t xml:space="preserve">Platform CPL (£)</t>
  </si>
  <si>
    <t xml:space="preserve">Total spend / total leads</t>
  </si>
  <si>
    <t xml:space="preserve">Qualified leads</t>
  </si>
  <si>
    <t xml:space="preserve">Count of Leads sheet rows marked Qualified = Y</t>
  </si>
  <si>
    <t xml:space="preserve">Qualified CPL (£)</t>
  </si>
  <si>
    <t xml:space="preserve">Total spend / qualified leads — the metric that actually matters, see §5 of the campaign doc</t>
  </si>
  <si>
    <t xml:space="preserve">Contacted</t>
  </si>
  <si>
    <t xml:space="preserve">Leads sheet, Contacted = Y</t>
  </si>
  <si>
    <t xml:space="preserve">Conversations</t>
  </si>
  <si>
    <t xml:space="preserve">Leads sheet, Conversation held = Y</t>
  </si>
  <si>
    <t xml:space="preserve">Opportunities</t>
  </si>
  <si>
    <t xml:space="preserve">Leads sheet, Opportunity = Y</t>
  </si>
  <si>
    <t xml:space="preserve">Projects won</t>
  </si>
  <si>
    <t xml:space="preserve">Leads sheet, Won = Y</t>
  </si>
  <si>
    <t xml:space="preserve">Revenue ($)</t>
  </si>
  <si>
    <t xml:space="preserve">Sum of Leads sheet Revenue column. Diagnostic priced in USD, kept as-is per Fabien, 2026-09-05</t>
  </si>
  <si>
    <t xml:space="preserve">Cost per qualified opportunity (£)</t>
  </si>
  <si>
    <t xml:space="preserve">Total spend / opportunities — use this instead of raw CPL to judge an expensive-but-good creative, per §6/§9 of the campaign doc</t>
  </si>
  <si>
    <t xml:space="preserve">Qualified CPL interpretation (from the campaign brief, §5/§6 of the campaign doc)</t>
  </si>
  <si>
    <t xml:space="preserve">Qualified CPL</t>
  </si>
  <si>
    <t xml:space="preserve">Interpretation</t>
  </si>
  <si>
    <t xml:space="preserve">£10</t>
  </si>
  <si>
    <t xml:space="preserve">Exceptional</t>
  </si>
  <si>
    <t xml:space="preserve">£15</t>
  </si>
  <si>
    <t xml:space="preserve">Excellent</t>
  </si>
  <si>
    <t xml:space="preserve">£20</t>
  </si>
  <si>
    <t xml:space="preserve">Strong</t>
  </si>
  <si>
    <t xml:space="preserve">£25</t>
  </si>
  <si>
    <t xml:space="preserve">Good / acceptable</t>
  </si>
  <si>
    <t xml:space="preserve">£30</t>
  </si>
  <si>
    <t xml:space="preserve">Needs attention</t>
  </si>
  <si>
    <t xml:space="preserve">£40</t>
  </si>
  <si>
    <t xml:space="preserve">Break-even</t>
  </si>
  <si>
    <t xml:space="preserve">£50+</t>
  </si>
  <si>
    <t xml:space="preserve">Rework required</t>
  </si>
  <si>
    <t xml:space="preserve">Live read: is Qualified CPL (B10 above) at or below break-even?</t>
  </si>
  <si>
    <t xml:space="preserve">Campaign Summary — enter from LinkedIn Campaign Manager</t>
  </si>
  <si>
    <t xml:space="preserve">Yellow cells = enter by hand from Campaign Manager. Everything else is a formula. One row per creative; Total row sums both.</t>
  </si>
  <si>
    <t xml:space="preserve">Concept</t>
  </si>
  <si>
    <t xml:space="preserve">Spend (£)</t>
  </si>
  <si>
    <t xml:space="preserve">Impressions</t>
  </si>
  <si>
    <t xml:space="preserve">Clicks</t>
  </si>
  <si>
    <t xml:space="preserve">CTR</t>
  </si>
  <si>
    <t xml:space="preserve">Form opens</t>
  </si>
  <si>
    <t xml:space="preserve">Leads</t>
  </si>
  <si>
    <t xml:space="preserve">A — Is Your Website Losing You Enquiries?</t>
  </si>
  <si>
    <t xml:space="preserve">D — Before You Redesign Your Website</t>
  </si>
  <si>
    <t xml:space="preserve">Total</t>
  </si>
  <si>
    <t xml:space="preserve">Test budget reference: £200 total, £10/day for ~20 days, split roughly £100 per creative. See docs/LINKEDIN_LEAD_GEN_CAMPAIGN.md §6.</t>
  </si>
  <si>
    <t xml:space="preserve">Leads — one row per lead</t>
  </si>
  <si>
    <t xml:space="preserve">Yellow columns = enter by hand as leads come in. See the 'Qualified Lead Criteria' tab before marking a lead Qualified. Concept must be entered as A or D exactly, to match Campaign Summary's formulas.</t>
  </si>
  <si>
    <t xml:space="preserve">Date</t>
  </si>
  <si>
    <t xml:space="preserve">Lead name</t>
  </si>
  <si>
    <t xml:space="preserve">Company</t>
  </si>
  <si>
    <t xml:space="preserve">Website</t>
  </si>
  <si>
    <t xml:space="preserve">Concept (A/D)</t>
  </si>
  <si>
    <t xml:space="preserve">Qualifying answer</t>
  </si>
  <si>
    <t xml:space="preserve">Qualified? (Y/N)</t>
  </si>
  <si>
    <t xml:space="preserve">Contacted? (Y/N)</t>
  </si>
  <si>
    <t xml:space="preserve">Conversation held? (Y/N)</t>
  </si>
  <si>
    <t xml:space="preserve">Opportunity? (Y/N)</t>
  </si>
  <si>
    <t xml:space="preserve">Won? (Y/N)</t>
  </si>
  <si>
    <t xml:space="preserve">2026-09-08</t>
  </si>
  <si>
    <t xml:space="preserve">Jane Smith</t>
  </si>
  <si>
    <t xml:space="preserve">Smith Joinery Ltd</t>
  </si>
  <si>
    <t xml:space="preserve">smithjoinery.co.uk</t>
  </si>
  <si>
    <t xml:space="preserve">A</t>
  </si>
  <si>
    <t xml:space="preserve">Generate more enquiries</t>
  </si>
  <si>
    <t xml:space="preserve">Y</t>
  </si>
  <si>
    <t xml:space="preserve">N</t>
  </si>
  <si>
    <t xml:space="preserve">Example row — delete before real data. Real business, valid email, in target market, applied criteria on the reference tab.</t>
  </si>
  <si>
    <t xml:space="preserve">What counts as a Qualified Lead</t>
  </si>
  <si>
    <t xml:space="preserve">Source: original campaign brief §20, docs/LINKEDIN_LEAD_GEN_CAMPAIGN.md. Check every box before marking a lead Qualified = Y on the Leads tab.</t>
  </si>
  <si>
    <t xml:space="preserve">Criterion</t>
  </si>
  <si>
    <t xml:space="preserve">A genuine person</t>
  </si>
  <si>
    <t xml:space="preserve">Valid contact information</t>
  </si>
  <si>
    <t xml:space="preserve">A real business</t>
  </si>
  <si>
    <t xml:space="preserve">A relevant website / business presence</t>
  </si>
  <si>
    <t xml:space="preserve">A legitimate potential need for website development or improvement</t>
  </si>
  <si>
    <t xml:space="preserve">Within Halo's actual service market (UK, 2-50 employees, owner/director)</t>
  </si>
  <si>
    <t xml:space="preserve">Not spam</t>
  </si>
  <si>
    <t xml:space="preserve">Not a duplicate</t>
  </si>
  <si>
    <t xml:space="preserve">Not obviously irrelevant</t>
  </si>
  <si>
    <t xml:space="preserve">Do not count fake, junk, duplicate or clearly irrelevant submissions as qualified leads, even if they came in cheaply.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</si>
</sst>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\$#,##0"/>
    <numFmt numFmtId="167" formatCode="0.00%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A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01A3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1A30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0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'Campaign Summary'!B7</f>
        <v>0</v>
      </c>
      <c r="C6" s="7" t="s">
        <v>7</v>
      </c>
    </row>
    <row r="7" customFormat="false" ht="15" hidden="false" customHeight="false" outlineLevel="0" collapsed="false">
      <c r="A7" s="5" t="s">
        <v>8</v>
      </c>
      <c r="B7" s="5" t="n">
        <f aca="false">'Campaign Summary'!G7</f>
        <v>0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f aca="false">IFERROR(B6/B7,0)</f>
        <v>0</v>
      </c>
      <c r="C8" s="7" t="s">
        <v>11</v>
      </c>
    </row>
    <row r="9" customFormat="false" ht="15" hidden="false" customHeight="false" outlineLevel="0" collapsed="false">
      <c r="A9" s="5" t="s">
        <v>12</v>
      </c>
      <c r="B9" s="5" t="n">
        <f aca="false">COUNTIF(Leads!G:G,"Y")</f>
        <v>1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6" t="n">
        <f aca="false">IFERROR(B6/B9,0)</f>
        <v>0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5" t="n">
        <f aca="false">COUNTIF(Leads!H:H,"Y")</f>
        <v>1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5" t="n">
        <f aca="false">COUNTIF(Leads!I:I,"Y")</f>
        <v>1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5" t="n">
        <f aca="false">COUNTIF(Leads!J:J,"Y")</f>
        <v>0</v>
      </c>
      <c r="C13" s="7" t="s">
        <v>21</v>
      </c>
    </row>
    <row r="14" customFormat="false" ht="15" hidden="false" customHeight="false" outlineLevel="0" collapsed="false">
      <c r="A14" s="5" t="s">
        <v>22</v>
      </c>
      <c r="B14" s="5" t="n">
        <f aca="false">COUNTIF(Leads!K:K,"Y")</f>
        <v>0</v>
      </c>
      <c r="C14" s="7" t="s">
        <v>23</v>
      </c>
    </row>
    <row r="15" customFormat="false" ht="15" hidden="false" customHeight="false" outlineLevel="0" collapsed="false">
      <c r="A15" s="5" t="s">
        <v>24</v>
      </c>
      <c r="B15" s="8" t="n">
        <f aca="false">SUM(Leads!L:L)</f>
        <v>0</v>
      </c>
      <c r="C15" s="7" t="s">
        <v>25</v>
      </c>
    </row>
    <row r="16" customFormat="false" ht="15" hidden="false" customHeight="false" outlineLevel="0" collapsed="false">
      <c r="A16" s="5" t="s">
        <v>26</v>
      </c>
      <c r="B16" s="6" t="n">
        <f aca="false">IFERROR(B6/B12,0)</f>
        <v>0</v>
      </c>
      <c r="C16" s="7" t="s">
        <v>27</v>
      </c>
    </row>
    <row r="18" customFormat="false" ht="15" hidden="false" customHeight="false" outlineLevel="0" collapsed="false">
      <c r="A18" s="3" t="s">
        <v>28</v>
      </c>
    </row>
    <row r="19" customFormat="false" ht="15" hidden="false" customHeight="false" outlineLevel="0" collapsed="false">
      <c r="A19" s="4" t="s">
        <v>29</v>
      </c>
      <c r="B19" s="4" t="s">
        <v>30</v>
      </c>
    </row>
    <row r="20" customFormat="false" ht="15" hidden="false" customHeight="false" outlineLevel="0" collapsed="false">
      <c r="A20" s="5" t="s">
        <v>31</v>
      </c>
      <c r="B20" s="5" t="s">
        <v>32</v>
      </c>
    </row>
    <row r="21" customFormat="false" ht="15" hidden="false" customHeight="false" outlineLevel="0" collapsed="false">
      <c r="A21" s="5" t="s">
        <v>33</v>
      </c>
      <c r="B21" s="5" t="s">
        <v>34</v>
      </c>
    </row>
    <row r="22" customFormat="false" ht="15" hidden="false" customHeight="false" outlineLevel="0" collapsed="false">
      <c r="A22" s="5" t="s">
        <v>35</v>
      </c>
      <c r="B22" s="5" t="s">
        <v>36</v>
      </c>
    </row>
    <row r="23" customFormat="false" ht="15" hidden="false" customHeight="false" outlineLevel="0" collapsed="false">
      <c r="A23" s="5" t="s">
        <v>37</v>
      </c>
      <c r="B23" s="5" t="s">
        <v>38</v>
      </c>
    </row>
    <row r="24" customFormat="false" ht="15" hidden="false" customHeight="false" outlineLevel="0" collapsed="false">
      <c r="A24" s="5" t="s">
        <v>39</v>
      </c>
      <c r="B24" s="5" t="s">
        <v>40</v>
      </c>
    </row>
    <row r="25" customFormat="false" ht="15" hidden="false" customHeight="false" outlineLevel="0" collapsed="false">
      <c r="A25" s="5" t="s">
        <v>41</v>
      </c>
      <c r="B25" s="5" t="s">
        <v>42</v>
      </c>
    </row>
    <row r="26" customFormat="false" ht="15" hidden="false" customHeight="false" outlineLevel="0" collapsed="false">
      <c r="A26" s="5" t="s">
        <v>43</v>
      </c>
      <c r="B26" s="5" t="s">
        <v>44</v>
      </c>
    </row>
    <row r="28" customFormat="false" ht="15" hidden="false" customHeight="false" outlineLevel="0" collapsed="false">
      <c r="A28" s="3" t="s">
        <v>45</v>
      </c>
      <c r="B28" s="9" t="str">
        <f aca="false">IF(B10=0,"No qualified leads yet",IF(B10&lt;=10,"Exceptional",IF(B10&lt;=15,"Excellent",IF(B10&lt;=20,"Strong",IF(B10&lt;=25,"Good / acceptable",IF(B10&lt;=30,"Needs attention",IF(B10&lt;=40,"Break-even","Rework required")))))))</f>
        <v>No qualified leads yet</v>
      </c>
      <c r="C28" s="9"/>
      <c r="D28" s="9"/>
    </row>
  </sheetData>
  <mergeCells count="3">
    <mergeCell ref="A1:F1"/>
    <mergeCell ref="A2:F2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10</v>
      </c>
      <c r="I4" s="4" t="s">
        <v>12</v>
      </c>
      <c r="J4" s="4" t="s">
        <v>14</v>
      </c>
    </row>
    <row r="5" customFormat="false" ht="15" hidden="false" customHeight="false" outlineLevel="0" collapsed="false">
      <c r="A5" s="5" t="s">
        <v>55</v>
      </c>
      <c r="B5" s="10" t="n">
        <v>0</v>
      </c>
      <c r="C5" s="11" t="n">
        <v>0</v>
      </c>
      <c r="D5" s="11" t="n">
        <v>0</v>
      </c>
      <c r="E5" s="12" t="n">
        <f aca="false">IFERROR(D5/C5,0)</f>
        <v>0</v>
      </c>
      <c r="F5" s="11" t="n">
        <v>0</v>
      </c>
      <c r="G5" s="11" t="n">
        <v>0</v>
      </c>
      <c r="H5" s="13" t="n">
        <f aca="false">IFERROR(B5/G5,0)</f>
        <v>0</v>
      </c>
      <c r="I5" s="14" t="n">
        <f aca="false">COUNTIFS(Leads!$E:$E,"A",Leads!$G:$G,"Y")</f>
        <v>1</v>
      </c>
      <c r="J5" s="13" t="n">
        <f aca="false">IFERROR(B5/I5,0)</f>
        <v>0</v>
      </c>
    </row>
    <row r="6" customFormat="false" ht="15" hidden="false" customHeight="false" outlineLevel="0" collapsed="false">
      <c r="A6" s="5" t="s">
        <v>56</v>
      </c>
      <c r="B6" s="10" t="n">
        <v>0</v>
      </c>
      <c r="C6" s="11" t="n">
        <v>0</v>
      </c>
      <c r="D6" s="11" t="n">
        <v>0</v>
      </c>
      <c r="E6" s="12" t="n">
        <f aca="false">IFERROR(D6/C6,0)</f>
        <v>0</v>
      </c>
      <c r="F6" s="11" t="n">
        <v>0</v>
      </c>
      <c r="G6" s="11" t="n">
        <v>0</v>
      </c>
      <c r="H6" s="13" t="n">
        <f aca="false">IFERROR(B6/G6,0)</f>
        <v>0</v>
      </c>
      <c r="I6" s="14" t="n">
        <f aca="false">COUNTIFS(Leads!$E:$E,"D",Leads!$G:$G,"Y")</f>
        <v>0</v>
      </c>
      <c r="J6" s="13" t="n">
        <f aca="false">IFERROR(B6/I6,0)</f>
        <v>0</v>
      </c>
    </row>
    <row r="7" customFormat="false" ht="15" hidden="false" customHeight="false" outlineLevel="0" collapsed="false">
      <c r="A7" s="15" t="s">
        <v>57</v>
      </c>
      <c r="B7" s="16" t="n">
        <f aca="false">SUM(B5:B6)</f>
        <v>0</v>
      </c>
      <c r="C7" s="15" t="n">
        <f aca="false">SUM(C5:C6)</f>
        <v>0</v>
      </c>
      <c r="D7" s="15" t="n">
        <f aca="false">SUM(D5:D6)</f>
        <v>0</v>
      </c>
      <c r="E7" s="17" t="n">
        <f aca="false">IFERROR(D7/C7,0)</f>
        <v>0</v>
      </c>
      <c r="F7" s="15" t="n">
        <f aca="false">SUM(F5:F6)</f>
        <v>0</v>
      </c>
      <c r="G7" s="15" t="n">
        <f aca="false">SUM(G5:G6)</f>
        <v>0</v>
      </c>
      <c r="H7" s="16" t="n">
        <f aca="false">IFERROR(B7/G7,0)</f>
        <v>0</v>
      </c>
      <c r="I7" s="15" t="n">
        <f aca="false">SUM(I5:I6)</f>
        <v>1</v>
      </c>
      <c r="J7" s="16" t="n">
        <f aca="false">IFERROR(B7/I7,0)</f>
        <v>0</v>
      </c>
    </row>
    <row r="9" customFormat="false" ht="15" hidden="false" customHeight="false" outlineLevel="0" collapsed="false">
      <c r="A9" s="2" t="s">
        <v>58</v>
      </c>
      <c r="B9" s="2"/>
      <c r="C9" s="2"/>
      <c r="D9" s="2"/>
      <c r="E9" s="2"/>
      <c r="F9" s="2"/>
      <c r="G9" s="2"/>
      <c r="H9" s="2"/>
      <c r="I9" s="2"/>
      <c r="J9" s="2"/>
    </row>
  </sheetData>
  <mergeCells count="3">
    <mergeCell ref="A1:I1"/>
    <mergeCell ref="A2:I2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6.85" hidden="false" customHeight="false" outlineLevel="0" collapsed="false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  <c r="L4" s="4" t="s">
        <v>24</v>
      </c>
      <c r="M4" s="4" t="s">
        <v>5</v>
      </c>
    </row>
    <row r="5" customFormat="false" ht="15" hidden="false" customHeight="false" outlineLevel="0" collapsed="false">
      <c r="A5" s="18" t="s">
        <v>72</v>
      </c>
      <c r="B5" s="18" t="s">
        <v>73</v>
      </c>
      <c r="C5" s="18" t="s">
        <v>74</v>
      </c>
      <c r="D5" s="18" t="s">
        <v>75</v>
      </c>
      <c r="E5" s="18" t="s">
        <v>76</v>
      </c>
      <c r="F5" s="18" t="s">
        <v>77</v>
      </c>
      <c r="G5" s="18" t="s">
        <v>78</v>
      </c>
      <c r="H5" s="18" t="s">
        <v>78</v>
      </c>
      <c r="I5" s="18" t="s">
        <v>78</v>
      </c>
      <c r="J5" s="18" t="s">
        <v>79</v>
      </c>
      <c r="K5" s="18" t="s">
        <v>79</v>
      </c>
      <c r="L5" s="19" t="n">
        <v>0</v>
      </c>
      <c r="M5" s="18" t="s">
        <v>80</v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20"/>
      <c r="M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20"/>
      <c r="M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20"/>
      <c r="M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20"/>
      <c r="M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20"/>
      <c r="M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20"/>
      <c r="M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20"/>
      <c r="M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20"/>
      <c r="M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20"/>
      <c r="M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20"/>
      <c r="M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20"/>
      <c r="M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20"/>
      <c r="M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20"/>
      <c r="M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20"/>
      <c r="M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20"/>
      <c r="M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20"/>
      <c r="M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0"/>
      <c r="M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20"/>
      <c r="M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20"/>
      <c r="M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20"/>
      <c r="M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20"/>
      <c r="M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20"/>
      <c r="M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20"/>
      <c r="M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20"/>
      <c r="M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20"/>
      <c r="M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20"/>
      <c r="M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20"/>
      <c r="M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0"/>
      <c r="M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20"/>
      <c r="M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20"/>
      <c r="M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20"/>
      <c r="M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20"/>
      <c r="M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20"/>
      <c r="M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20"/>
      <c r="M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20"/>
      <c r="M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20"/>
      <c r="M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20"/>
      <c r="M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20"/>
      <c r="M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20"/>
      <c r="M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20"/>
      <c r="M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20"/>
      <c r="M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20"/>
      <c r="M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20"/>
      <c r="M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20"/>
      <c r="M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20"/>
      <c r="M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20"/>
      <c r="M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20"/>
      <c r="M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20"/>
      <c r="M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20"/>
      <c r="M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20"/>
      <c r="M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20"/>
      <c r="M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20"/>
      <c r="M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20"/>
      <c r="M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20"/>
      <c r="M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20"/>
      <c r="M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20"/>
      <c r="M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20"/>
      <c r="M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20"/>
      <c r="M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20"/>
      <c r="M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20"/>
      <c r="M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20"/>
      <c r="M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20"/>
      <c r="M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20"/>
      <c r="M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20"/>
      <c r="M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20"/>
      <c r="M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20"/>
      <c r="M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20"/>
      <c r="M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20"/>
      <c r="M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20"/>
      <c r="M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20"/>
      <c r="M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20"/>
      <c r="M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20"/>
      <c r="M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20"/>
      <c r="M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20"/>
      <c r="M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20"/>
      <c r="M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20"/>
      <c r="M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20"/>
      <c r="M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20"/>
      <c r="M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20"/>
      <c r="M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20"/>
      <c r="M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20"/>
      <c r="M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20"/>
      <c r="M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20"/>
      <c r="M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20"/>
      <c r="M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20"/>
      <c r="M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20"/>
      <c r="M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20"/>
      <c r="M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20"/>
      <c r="M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20"/>
      <c r="M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20"/>
      <c r="M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20"/>
      <c r="M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20"/>
      <c r="M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20"/>
      <c r="M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20"/>
      <c r="M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20"/>
      <c r="M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20"/>
      <c r="M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20"/>
      <c r="M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20"/>
      <c r="M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20"/>
      <c r="M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20"/>
      <c r="M105" s="11"/>
    </row>
  </sheetData>
  <mergeCells count="2">
    <mergeCell ref="A1:M1"/>
    <mergeCell ref="A2:M2"/>
  </mergeCells>
  <dataValidations count="2">
    <dataValidation allowBlank="true" errorStyle="stop" operator="between" showDropDown="false" showErrorMessage="false" showInputMessage="false" sqref="E6:E105" type="list">
      <formula1>"A,D"</formula1>
      <formula2>0</formula2>
    </dataValidation>
    <dataValidation allowBlank="true" errorStyle="stop" operator="between" showDropDown="false" showErrorMessage="false" showInputMessage="false" sqref="G6:K10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81</v>
      </c>
      <c r="B1" s="1"/>
    </row>
    <row r="2" customFormat="false" ht="15" hidden="false" customHeight="false" outlineLevel="0" collapsed="false">
      <c r="A2" s="2" t="s">
        <v>82</v>
      </c>
      <c r="B2" s="2"/>
      <c r="C2" s="2"/>
    </row>
    <row r="4" customFormat="false" ht="15" hidden="false" customHeight="false" outlineLevel="0" collapsed="false">
      <c r="A4" s="21" t="s">
        <v>83</v>
      </c>
    </row>
    <row r="5" customFormat="false" ht="15" hidden="false" customHeight="false" outlineLevel="0" collapsed="false">
      <c r="A5" s="5" t="s">
        <v>84</v>
      </c>
    </row>
    <row r="6" customFormat="false" ht="15" hidden="false" customHeight="false" outlineLevel="0" collapsed="false">
      <c r="A6" s="5" t="s">
        <v>85</v>
      </c>
    </row>
    <row r="7" customFormat="false" ht="15" hidden="false" customHeight="false" outlineLevel="0" collapsed="false">
      <c r="A7" s="5" t="s">
        <v>86</v>
      </c>
    </row>
    <row r="8" customFormat="false" ht="15" hidden="false" customHeight="false" outlineLevel="0" collapsed="false">
      <c r="A8" s="5" t="s">
        <v>87</v>
      </c>
    </row>
    <row r="9" customFormat="false" ht="15" hidden="false" customHeight="false" outlineLevel="0" collapsed="false">
      <c r="A9" s="5" t="s">
        <v>88</v>
      </c>
    </row>
    <row r="10" customFormat="false" ht="15" hidden="false" customHeight="false" outlineLevel="0" collapsed="false">
      <c r="A10" s="5" t="s">
        <v>89</v>
      </c>
    </row>
    <row r="11" customFormat="false" ht="15" hidden="false" customHeight="false" outlineLevel="0" collapsed="false">
      <c r="A11" s="5" t="s">
        <v>90</v>
      </c>
    </row>
    <row r="12" customFormat="false" ht="15" hidden="false" customHeight="false" outlineLevel="0" collapsed="false">
      <c r="A12" s="5" t="s">
        <v>91</v>
      </c>
    </row>
    <row r="13" customFormat="false" ht="15" hidden="false" customHeight="false" outlineLevel="0" collapsed="false">
      <c r="A13" s="5" t="s">
        <v>92</v>
      </c>
    </row>
    <row r="15" customFormat="false" ht="15" hidden="false" customHeight="false" outlineLevel="0" collapsed="false">
      <c r="A15" s="22" t="s">
        <v>93</v>
      </c>
      <c r="B15" s="22"/>
      <c r="C15" s="22"/>
    </row>
  </sheetData>
  <mergeCells count="3">
    <mergeCell ref="A1:B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2026-09-05T07:45:56Z</dcterms:created>
  <dc:creator>openpyxl</dc:creator>
  <dc:description/>
  <dc:language>en-US</dc:language>
  <cp:lastModifiedBy/>
  <dcterms:modified xsi:type="dcterms:W3CDTF">2026-09-05T07:45:56Z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