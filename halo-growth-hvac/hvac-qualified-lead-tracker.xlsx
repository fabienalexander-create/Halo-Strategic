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mpaign Summary" sheetId="2" state="visible" r:id="rId4"/>
    <sheet name="Leads" sheetId="3" state="visible" r:id="rId5"/>
    <sheet name="Make.com Setu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<sst xmlns="http://schemas.openxmlformats.org/spreadsheetml/2006/main" count="79" uniqueCount="73">
  <si>
    <t xml:space="preserve">Halo Strategic — US HVAC LinkedIn Campaign</t>
  </si>
  <si>
    <t xml:space="preserve">Qualified-lead tracker. Source: halo-growth-hvac/BRIEF.md and CLAUDE_BROWSER_LINKEDIN_BRIEF.md. Fill in yellow cells only; everything else is a formula.</t>
  </si>
  <si>
    <t xml:space="preserve">Funnel totals</t>
  </si>
  <si>
    <t xml:space="preserve">Metric</t>
  </si>
  <si>
    <t xml:space="preserve">Value</t>
  </si>
  <si>
    <t xml:space="preserve">Notes</t>
  </si>
  <si>
    <t xml:space="preserve">Total spend ($)</t>
  </si>
  <si>
    <t xml:space="preserve">Sum of both creatives, from Campaign Summary</t>
  </si>
  <si>
    <t xml:space="preserve">Total form submissions</t>
  </si>
  <si>
    <t xml:space="preserve">From Campaign Summary</t>
  </si>
  <si>
    <t xml:space="preserve">Platform CPL ($)</t>
  </si>
  <si>
    <t xml:space="preserve">Total spend / total form submissions</t>
  </si>
  <si>
    <t xml:space="preserve">Qualified HVAC businesses</t>
  </si>
  <si>
    <t xml:space="preserve">Leads sheet, Qualified = Y</t>
  </si>
  <si>
    <t xml:space="preserve">Qualified CPL ($)</t>
  </si>
  <si>
    <t xml:space="preserve">Total spend / qualified businesses</t>
  </si>
  <si>
    <t xml:space="preserve">Sales conversations</t>
  </si>
  <si>
    <t xml:space="preserve">Leads sheet, Conversation held = Y</t>
  </si>
  <si>
    <t xml:space="preserve">Paid trials sold</t>
  </si>
  <si>
    <t xml:space="preserve">Leads sheet, Trial purchased = Y</t>
  </si>
  <si>
    <t xml:space="preserve">Repeat purchases</t>
  </si>
  <si>
    <t xml:space="preserve">Leads sheet, Repeat purchase = Y</t>
  </si>
  <si>
    <t xml:space="preserve">Revenue ($)</t>
  </si>
  <si>
    <t xml:space="preserve">Sum of Leads sheet Revenue column</t>
  </si>
  <si>
    <t xml:space="preserve">Cost to acquire one paying HVAC customer ($)</t>
  </si>
  <si>
    <t xml:space="preserve">Total spend / paid trials sold — the PRIMARY KPI per BRIEF.md §11, not raw cost-per-lead</t>
  </si>
  <si>
    <t xml:space="preserve">Remember: the goal is proving one real HVAC company will pay for 5 opportunities and Halo can deliver them, not maximising form-fill volume (BRIEF.md §1).</t>
  </si>
  <si>
    <t xml:space="preserve">Campaign Summary — enter from LinkedIn Campaign Manager</t>
  </si>
  <si>
    <t xml:space="preserve">Yellow cells = enter by hand from Campaign Manager. One row per creative; Total row sums both. Test budget: $300 total (halo-growth-hvac/CLAUDE_BROWSER_LINKEDIN_BRIEF.md).</t>
  </si>
  <si>
    <t xml:space="preserve">Concept</t>
  </si>
  <si>
    <t xml:space="preserve">Spend ($)</t>
  </si>
  <si>
    <t xml:space="preserve">Impressions</t>
  </si>
  <si>
    <t xml:space="preserve">Clicks</t>
  </si>
  <si>
    <t xml:space="preserve">CTR</t>
  </si>
  <si>
    <t xml:space="preserve">Form opens</t>
  </si>
  <si>
    <t xml:space="preserve">Form submissions</t>
  </si>
  <si>
    <t xml:space="preserve">Qualified businesses</t>
  </si>
  <si>
    <t xml:space="preserve">A — Stop Splitting Leads With 3 Other Contractors</t>
  </si>
  <si>
    <t xml:space="preserve">C — $150 Per Qualified Opportunity, Not Per Dead Number</t>
  </si>
  <si>
    <t xml:space="preserve">Total</t>
  </si>
  <si>
    <t xml:space="preserve">Leads — one row per HVAC business submission</t>
  </si>
  <si>
    <t xml:space="preserve">Populated automatically by two Make.com scenarios (one per ad, see Make.com Setup tab), or paste in manually from a LinkedIn Campaign Manager CSV export meanwhile.</t>
  </si>
  <si>
    <t xml:space="preserve">Date</t>
  </si>
  <si>
    <t xml:space="preserve">Company</t>
  </si>
  <si>
    <t xml:space="preserve">Contact name</t>
  </si>
  <si>
    <t xml:space="preserve">Email</t>
  </si>
  <si>
    <t xml:space="preserve">Phone</t>
  </si>
  <si>
    <t xml:space="preserve">Concept (A/C)</t>
  </si>
  <si>
    <t xml:space="preserve">Qualified? (Y/N)</t>
  </si>
  <si>
    <t xml:space="preserve">Sales conversation held? (Y/N)</t>
  </si>
  <si>
    <t xml:space="preserve">Trial purchased? (Y/N)</t>
  </si>
  <si>
    <t xml:space="preserve">Repeat purchase? (Y/N)</t>
  </si>
  <si>
    <t xml:space="preserve">2026-09-15</t>
  </si>
  <si>
    <t xml:space="preserve">Coastal Air HVAC LLC</t>
  </si>
  <si>
    <t xml:space="preserve">Mike Torres</t>
  </si>
  <si>
    <t xml:space="preserve">mike@coastalairhvac.com</t>
  </si>
  <si>
    <t xml:space="preserve">555-0134</t>
  </si>
  <si>
    <t xml:space="preserve">A</t>
  </si>
  <si>
    <t xml:space="preserve">Y</t>
  </si>
  <si>
    <t xml:space="preserve">N</t>
  </si>
  <si>
    <t xml:space="preserve">Example row — delete before real data. Real local HVAC contractor, 6 technicians, currently on Angi.</t>
  </si>
  <si>
    <t xml:space="preserve">Connecting LinkedIn Lead Gen Forms to this sheet via Make.com</t>
  </si>
  <si>
    <t xml:space="preserve">Decided: two separate Lead Gen Forms (one per ad), each with its own Make scenario, plus an email notification to Fabien on every new lead. I have no LinkedIn, Make.com, or Gmail access in this session, so this hasn't been built or tested; verify against Make's actual current UI as you go.</t>
  </si>
  <si>
    <t xml:space="preserve">0. In Campaign Manager, build two Lead Gen Forms with identical content (same fields, headline, supporting copy, confirmation message from CLAUDE_BROWSER_LINKEDIN_BRIEF.md), one attached to Ad 1 (Concept A) and one to Ad 2 (Concept C). Needed so each Make scenario can watch its own form and know which concept it belongs to.</t>
  </si>
  <si>
    <t xml:space="preserve">1. Import this file into Google Sheets first (File &gt; Import &gt; Upload, replace spreadsheet), Make writes to a live Google Sheet, not a local .xlsx.</t>
  </si>
  <si>
    <t xml:space="preserve">2. Build Scenario 1 (Concept A): trigger module 'LinkedIn Lead Gen Ads' -&gt; 'Watch Leads', connect the LinkedIn Ads account, select the Concept A form specifically.</t>
  </si>
  <si>
    <t xml:space="preserve">3. Action module 1: 'Google Sheets' -&gt; 'Add a Row', target this spreadsheet's 'Leads' tab. Map Date -&gt; now(), Company/Contact name/Email/Phone -&gt; the matching form fields, and set the 'Concept (A/C)' column to a static value: A.</t>
  </si>
  <si>
    <t xml:space="preserve">4. Action module 2 (same scenario, runs right after Add a Row): 'Gmail' (or 'Email' module) -&gt; 'Send an Email', to fabien@halostrategic.com. Subject: 'New HVAC lead (Concept A): {{Company}}'. Body: include Company, Contact name, Email, Phone, and a link to this sheet's Leads tab, so Fabien can act within the 15-minute SLA without opening the sheet first.</t>
  </si>
  <si>
    <t xml:space="preserve">5. Build Scenario 2 (Concept C): identical to Scenario 1, but watching the Concept C form, 'Concept (A/C)' set to a static value: C, and the email subject reading 'New HVAC lead (Concept C): {{Company}}'.</t>
  </si>
  <si>
    <t xml:space="preserve">6. Qualified, Sales conversation held, Trial purchased, Repeat purchase, and Revenue are not in LinkedIn's form, leave those blank in both scenarios for manual entry after each lead comes in.</t>
  </si>
  <si>
    <t xml:space="preserve">7. Run each scenario once manually with a test submission before scheduling, confirm both the sheet row and the email actually arrive correctly.</t>
  </si>
  <si>
    <t xml:space="preserve">8. Turn both scenarios on. From this point, every new form submission on either ad should append a correctly-attributed row AND send Fabien an email, automatically.</t>
  </si>
  <si>
    <t xml:space="preserve">Email volume note: at a genuinely low lead volume (this is a $300 test), one email per lead is fine. If volume grows later, worth revisiting whether Fabien wants a per-lead email forever or a digest, a decision for that point, not this one.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</si>
</sst>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.00%"/>
    <numFmt numFmtId="167" formatCode="General"/>
    <numFmt numFmtId="168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01A3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88888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01A30"/>
        <bgColor rgb="FF0000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01A3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8"/>
    <col collapsed="false" customWidth="true" hidden="false" outlineLevel="0" max="3" min="3" style="1" width="60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</row>
    <row r="6" customFormat="false" ht="15" hidden="false" customHeight="true" outlineLevel="0" collapsed="false">
      <c r="A6" s="6" t="s">
        <v>6</v>
      </c>
      <c r="B6" s="7" t="n">
        <f aca="false">'Campaign Summary'!B7</f>
        <v>0</v>
      </c>
      <c r="C6" s="8" t="s">
        <v>7</v>
      </c>
    </row>
    <row r="7" customFormat="false" ht="15" hidden="false" customHeight="true" outlineLevel="0" collapsed="false">
      <c r="A7" s="6" t="s">
        <v>8</v>
      </c>
      <c r="B7" s="7" t="n">
        <f aca="false">'Campaign Summary'!G7</f>
        <v>0</v>
      </c>
      <c r="C7" s="8" t="s">
        <v>9</v>
      </c>
    </row>
    <row r="8" customFormat="false" ht="15" hidden="false" customHeight="true" outlineLevel="0" collapsed="false">
      <c r="A8" s="6" t="s">
        <v>10</v>
      </c>
      <c r="B8" s="7" t="n">
        <f aca="false">IFERROR(B6/B7,0)</f>
        <v>0</v>
      </c>
      <c r="C8" s="8" t="s">
        <v>11</v>
      </c>
    </row>
    <row r="9" customFormat="false" ht="15" hidden="false" customHeight="true" outlineLevel="0" collapsed="false">
      <c r="A9" s="6" t="s">
        <v>12</v>
      </c>
      <c r="B9" s="7" t="n">
        <f aca="false">COUNTIF(Leads!G:G,"Y")</f>
        <v>1</v>
      </c>
      <c r="C9" s="8" t="s">
        <v>13</v>
      </c>
    </row>
    <row r="10" customFormat="false" ht="15" hidden="false" customHeight="true" outlineLevel="0" collapsed="false">
      <c r="A10" s="6" t="s">
        <v>14</v>
      </c>
      <c r="B10" s="7" t="n">
        <f aca="false">IFERROR(B6/B9,0)</f>
        <v>0</v>
      </c>
      <c r="C10" s="8" t="s">
        <v>15</v>
      </c>
    </row>
    <row r="11" customFormat="false" ht="15" hidden="false" customHeight="true" outlineLevel="0" collapsed="false">
      <c r="A11" s="6" t="s">
        <v>16</v>
      </c>
      <c r="B11" s="7" t="n">
        <f aca="false">COUNTIF(Leads!H:H,"Y")</f>
        <v>1</v>
      </c>
      <c r="C11" s="8" t="s">
        <v>17</v>
      </c>
    </row>
    <row r="12" customFormat="false" ht="15" hidden="false" customHeight="true" outlineLevel="0" collapsed="false">
      <c r="A12" s="6" t="s">
        <v>18</v>
      </c>
      <c r="B12" s="7" t="n">
        <f aca="false">COUNTIF(Leads!I:I,"Y")</f>
        <v>0</v>
      </c>
      <c r="C12" s="8" t="s">
        <v>19</v>
      </c>
    </row>
    <row r="13" customFormat="false" ht="15" hidden="false" customHeight="true" outlineLevel="0" collapsed="false">
      <c r="A13" s="6" t="s">
        <v>20</v>
      </c>
      <c r="B13" s="7" t="n">
        <f aca="false">COUNTIF(Leads!J:J,"Y")</f>
        <v>0</v>
      </c>
      <c r="C13" s="8" t="s">
        <v>21</v>
      </c>
    </row>
    <row r="14" customFormat="false" ht="15" hidden="false" customHeight="true" outlineLevel="0" collapsed="false">
      <c r="A14" s="6" t="s">
        <v>22</v>
      </c>
      <c r="B14" s="7" t="n">
        <f aca="false">SUM(Leads!K:K)</f>
        <v>0</v>
      </c>
      <c r="C14" s="8" t="s">
        <v>23</v>
      </c>
    </row>
    <row r="15" customFormat="false" ht="15" hidden="false" customHeight="true" outlineLevel="0" collapsed="false">
      <c r="A15" s="6" t="s">
        <v>24</v>
      </c>
      <c r="B15" s="7" t="n">
        <f aca="false">IFERROR(B6/B10,0)</f>
        <v>0</v>
      </c>
      <c r="C15" s="8" t="s">
        <v>25</v>
      </c>
    </row>
    <row r="17" customFormat="false" ht="15" hidden="false" customHeight="true" outlineLevel="0" collapsed="false">
      <c r="A17" s="9" t="s">
        <v>26</v>
      </c>
      <c r="B17" s="9"/>
      <c r="C17" s="9"/>
    </row>
  </sheetData>
  <mergeCells count="3">
    <mergeCell ref="A1:F1"/>
    <mergeCell ref="A2:F2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5" min="4" style="1" width="10"/>
    <col collapsed="false" customWidth="true" hidden="false" outlineLevel="0" max="6" min="6" style="1" width="12"/>
    <col collapsed="false" customWidth="true" hidden="false" outlineLevel="0" max="8" min="7" style="1" width="15"/>
    <col collapsed="false" customWidth="true" hidden="false" outlineLevel="0" max="9" min="9" style="1" width="17"/>
    <col collapsed="false" customWidth="true" hidden="false" outlineLevel="0" max="10" min="10" style="1" width="15"/>
  </cols>
  <sheetData>
    <row r="1" customFormat="false" ht="17.25" hidden="false" customHeight="true" outlineLevel="0" collapsed="false">
      <c r="A1" s="2" t="s">
        <v>27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28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6.25" hidden="false" customHeight="true" outlineLevel="0" collapsed="false">
      <c r="A4" s="5" t="s">
        <v>29</v>
      </c>
      <c r="B4" s="5" t="s">
        <v>30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35</v>
      </c>
      <c r="H4" s="5" t="s">
        <v>10</v>
      </c>
      <c r="I4" s="5" t="s">
        <v>36</v>
      </c>
      <c r="J4" s="5" t="s">
        <v>14</v>
      </c>
    </row>
    <row r="5" customFormat="false" ht="15" hidden="false" customHeight="true" outlineLevel="0" collapsed="false">
      <c r="A5" s="6" t="s">
        <v>37</v>
      </c>
      <c r="B5" s="10" t="n">
        <v>0</v>
      </c>
      <c r="C5" s="11" t="n">
        <v>0</v>
      </c>
      <c r="D5" s="11" t="n">
        <v>0</v>
      </c>
      <c r="E5" s="12" t="n">
        <f aca="false">IFERROR(D5/C5,0)</f>
        <v>0</v>
      </c>
      <c r="F5" s="11" t="n">
        <v>0</v>
      </c>
      <c r="G5" s="11" t="n">
        <v>0</v>
      </c>
      <c r="H5" s="13" t="n">
        <f aca="false">IFERROR(B5/G5,0)</f>
        <v>0</v>
      </c>
      <c r="I5" s="14" t="n">
        <f aca="false">COUNTIFS(Leads!$F:$F,"A",Leads!$G:$G,"Y")</f>
        <v>1</v>
      </c>
      <c r="J5" s="13" t="n">
        <f aca="false">IFERROR(B5/I5,0)</f>
        <v>0</v>
      </c>
    </row>
    <row r="6" customFormat="false" ht="15" hidden="false" customHeight="true" outlineLevel="0" collapsed="false">
      <c r="A6" s="6" t="s">
        <v>38</v>
      </c>
      <c r="B6" s="10" t="n">
        <v>0</v>
      </c>
      <c r="C6" s="11" t="n">
        <v>0</v>
      </c>
      <c r="D6" s="11" t="n">
        <v>0</v>
      </c>
      <c r="E6" s="12" t="n">
        <f aca="false">IFERROR(D6/C6,0)</f>
        <v>0</v>
      </c>
      <c r="F6" s="11" t="n">
        <v>0</v>
      </c>
      <c r="G6" s="11" t="n">
        <v>0</v>
      </c>
      <c r="H6" s="13" t="n">
        <f aca="false">IFERROR(B6/G6,0)</f>
        <v>0</v>
      </c>
      <c r="I6" s="14" t="n">
        <f aca="false">COUNTIFS(Leads!$F:$F,"C",Leads!$G:$G,"Y")</f>
        <v>0</v>
      </c>
      <c r="J6" s="13" t="n">
        <f aca="false">IFERROR(B6/I6,0)</f>
        <v>0</v>
      </c>
    </row>
    <row r="7" customFormat="false" ht="15" hidden="false" customHeight="true" outlineLevel="0" collapsed="false">
      <c r="A7" s="15" t="s">
        <v>39</v>
      </c>
      <c r="B7" s="16" t="n">
        <f aca="false">SUM(B5:B6)</f>
        <v>0</v>
      </c>
      <c r="C7" s="15" t="n">
        <f aca="false">SUM(C5:C6)</f>
        <v>0</v>
      </c>
      <c r="D7" s="15" t="n">
        <f aca="false">SUM(D5:D6)</f>
        <v>0</v>
      </c>
      <c r="E7" s="17" t="n">
        <f aca="false">IFERROR(D7/C7,0)</f>
        <v>0</v>
      </c>
      <c r="F7" s="15" t="n">
        <f aca="false">SUM(F5:F6)</f>
        <v>0</v>
      </c>
      <c r="G7" s="15" t="n">
        <f aca="false">SUM(G5:G6)</f>
        <v>0</v>
      </c>
      <c r="H7" s="16" t="n">
        <f aca="false">IFERROR(B7/G7,0)</f>
        <v>0</v>
      </c>
      <c r="I7" s="15" t="n">
        <f aca="false">SUM(I5:I6)</f>
        <v>1</v>
      </c>
      <c r="J7" s="16" t="n">
        <f aca="false">IFERROR(B7/I7,0)</f>
        <v>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4" min="4" style="1" width="26"/>
    <col collapsed="false" customWidth="true" hidden="false" outlineLevel="0" max="7" min="5" style="1" width="12"/>
    <col collapsed="false" customWidth="true" hidden="false" outlineLevel="0" max="8" min="8" style="1" width="16"/>
    <col collapsed="false" customWidth="true" hidden="false" outlineLevel="0" max="10" min="9" style="1" width="14"/>
    <col collapsed="false" customWidth="true" hidden="false" outlineLevel="0" max="11" min="11" style="1" width="12"/>
    <col collapsed="false" customWidth="true" hidden="false" outlineLevel="0" max="12" min="12" style="1" width="34"/>
  </cols>
  <sheetData>
    <row r="1" customFormat="false" ht="17.25" hidden="false" customHeight="true" outlineLevel="0" collapsed="false">
      <c r="A1" s="2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41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6.25" hidden="false" customHeight="true" outlineLevel="0" collapsed="false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22</v>
      </c>
      <c r="L4" s="5" t="s">
        <v>5</v>
      </c>
    </row>
    <row r="5" customFormat="false" ht="15" hidden="false" customHeight="true" outlineLevel="0" collapsed="false">
      <c r="A5" s="18" t="s">
        <v>52</v>
      </c>
      <c r="B5" s="18" t="s">
        <v>53</v>
      </c>
      <c r="C5" s="18" t="s">
        <v>54</v>
      </c>
      <c r="D5" s="18" t="s">
        <v>55</v>
      </c>
      <c r="E5" s="18" t="s">
        <v>56</v>
      </c>
      <c r="F5" s="18" t="s">
        <v>57</v>
      </c>
      <c r="G5" s="18" t="s">
        <v>58</v>
      </c>
      <c r="H5" s="18" t="s">
        <v>58</v>
      </c>
      <c r="I5" s="18" t="s">
        <v>59</v>
      </c>
      <c r="J5" s="18" t="s">
        <v>59</v>
      </c>
      <c r="K5" s="19" t="n">
        <v>0</v>
      </c>
      <c r="L5" s="18" t="s">
        <v>60</v>
      </c>
    </row>
    <row r="6" customFormat="false" ht="15" hidden="false" customHeight="tru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  <c r="K6" s="20"/>
      <c r="L6" s="11"/>
    </row>
    <row r="7" customFormat="false" ht="15" hidden="false" customHeight="tru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  <c r="K7" s="20"/>
      <c r="L7" s="11"/>
    </row>
    <row r="8" customFormat="false" ht="15" hidden="false" customHeight="tru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20"/>
      <c r="L8" s="11"/>
    </row>
    <row r="9" customFormat="false" ht="15" hidden="false" customHeight="tru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20"/>
      <c r="L9" s="11"/>
    </row>
    <row r="10" customFormat="false" ht="15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20"/>
      <c r="L10" s="11"/>
    </row>
    <row r="11" customFormat="false" ht="15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20"/>
      <c r="L11" s="11"/>
    </row>
    <row r="12" customFormat="false" ht="15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20"/>
      <c r="L12" s="11"/>
    </row>
    <row r="13" customFormat="false" ht="1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20"/>
      <c r="L13" s="11"/>
    </row>
    <row r="14" customFormat="false" ht="1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20"/>
      <c r="L14" s="11"/>
    </row>
    <row r="15" customFormat="false" ht="1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20"/>
      <c r="L15" s="11"/>
    </row>
    <row r="16" customFormat="false" ht="1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20"/>
      <c r="L16" s="11"/>
    </row>
    <row r="17" customFormat="false" ht="1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20"/>
      <c r="L17" s="11"/>
    </row>
    <row r="18" customFormat="false" ht="1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20"/>
      <c r="L18" s="11"/>
    </row>
    <row r="19" customFormat="false" ht="1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20"/>
      <c r="L19" s="11"/>
    </row>
    <row r="20" customFormat="false" ht="1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20"/>
      <c r="L20" s="11"/>
    </row>
    <row r="21" customFormat="false" ht="1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20"/>
      <c r="L21" s="11"/>
    </row>
    <row r="22" customFormat="false" ht="1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20"/>
      <c r="L22" s="11"/>
    </row>
    <row r="23" customFormat="false" ht="1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20"/>
      <c r="L23" s="11"/>
    </row>
    <row r="24" customFormat="false" ht="1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20"/>
      <c r="L24" s="11"/>
    </row>
    <row r="25" customFormat="false" ht="1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20"/>
      <c r="L25" s="11"/>
    </row>
    <row r="26" customFormat="false" ht="1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20"/>
      <c r="L26" s="11"/>
    </row>
    <row r="27" customFormat="false" ht="1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20"/>
      <c r="L27" s="11"/>
    </row>
    <row r="28" customFormat="false" ht="1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20"/>
      <c r="L28" s="11"/>
    </row>
    <row r="29" customFormat="false" ht="1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20"/>
      <c r="L29" s="11"/>
    </row>
    <row r="30" customFormat="false" ht="1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20"/>
      <c r="L30" s="11"/>
    </row>
    <row r="31" customFormat="false" ht="1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20"/>
      <c r="L31" s="11"/>
    </row>
    <row r="32" customFormat="false" ht="1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20"/>
      <c r="L32" s="11"/>
    </row>
    <row r="33" customFormat="false" ht="1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20"/>
      <c r="L33" s="11"/>
    </row>
    <row r="34" customFormat="false" ht="1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20"/>
      <c r="L34" s="11"/>
    </row>
    <row r="35" customFormat="false" ht="1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20"/>
      <c r="L35" s="11"/>
    </row>
    <row r="36" customFormat="false" ht="15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20"/>
      <c r="L36" s="11"/>
    </row>
    <row r="37" customFormat="false" ht="15" hidden="false" customHeight="tru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20"/>
      <c r="L37" s="11"/>
    </row>
    <row r="38" customFormat="false" ht="15" hidden="false" customHeight="tru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20"/>
      <c r="L38" s="11"/>
    </row>
    <row r="39" customFormat="false" ht="15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20"/>
      <c r="L39" s="11"/>
    </row>
    <row r="40" customFormat="false" ht="15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20"/>
      <c r="L40" s="11"/>
    </row>
    <row r="41" customFormat="false" ht="15" hidden="false" customHeight="tru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20"/>
      <c r="L41" s="11"/>
    </row>
    <row r="42" customFormat="false" ht="1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20"/>
      <c r="L42" s="11"/>
    </row>
    <row r="43" customFormat="false" ht="15" hidden="false" customHeight="tru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20"/>
      <c r="L43" s="11"/>
    </row>
    <row r="44" customFormat="false" ht="15" hidden="false" customHeight="tru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20"/>
      <c r="L44" s="11"/>
    </row>
    <row r="45" customFormat="false" ht="15" hidden="false" customHeight="true" outlineLevel="0" collapsed="false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20"/>
      <c r="L45" s="11"/>
    </row>
    <row r="46" customFormat="false" ht="15" hidden="false" customHeight="tru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20"/>
      <c r="L46" s="11"/>
    </row>
    <row r="47" customFormat="false" ht="15" hidden="false" customHeight="tru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20"/>
      <c r="L47" s="11"/>
    </row>
    <row r="48" customFormat="false" ht="15" hidden="false" customHeight="tru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20"/>
      <c r="L48" s="11"/>
    </row>
    <row r="49" customFormat="false" ht="15" hidden="false" customHeight="tru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20"/>
      <c r="L49" s="11"/>
    </row>
    <row r="50" customFormat="false" ht="15" hidden="false" customHeight="tru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20"/>
      <c r="L50" s="11"/>
    </row>
    <row r="51" customFormat="false" ht="15" hidden="false" customHeight="tru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20"/>
      <c r="L51" s="11"/>
    </row>
    <row r="52" customFormat="false" ht="15" hidden="false" customHeight="tru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20"/>
      <c r="L52" s="11"/>
    </row>
    <row r="53" customFormat="false" ht="15" hidden="false" customHeight="true" outlineLevel="0" collapsed="false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20"/>
      <c r="L53" s="11"/>
    </row>
    <row r="54" customFormat="false" ht="15" hidden="false" customHeight="tru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20"/>
      <c r="L54" s="11"/>
    </row>
    <row r="55" customFormat="false" ht="15" hidden="false" customHeight="true" outlineLevel="0" collapsed="false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20"/>
      <c r="L55" s="11"/>
    </row>
    <row r="56" customFormat="false" ht="15" hidden="false" customHeight="tru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20"/>
      <c r="L56" s="11"/>
    </row>
    <row r="57" customFormat="false" ht="15" hidden="false" customHeight="true" outlineLevel="0" collapsed="false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20"/>
      <c r="L57" s="11"/>
    </row>
    <row r="58" customFormat="false" ht="15" hidden="false" customHeight="tru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20"/>
      <c r="L58" s="11"/>
    </row>
    <row r="59" customFormat="false" ht="15" hidden="false" customHeight="true" outlineLevel="0" collapsed="false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20"/>
      <c r="L59" s="11"/>
    </row>
    <row r="60" customFormat="false" ht="15" hidden="false" customHeight="tru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20"/>
      <c r="L60" s="11"/>
    </row>
    <row r="61" customFormat="false" ht="15" hidden="false" customHeight="true" outlineLevel="0" collapsed="false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20"/>
      <c r="L61" s="11"/>
    </row>
    <row r="62" customFormat="false" ht="15" hidden="false" customHeight="tru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20"/>
      <c r="L62" s="11"/>
    </row>
    <row r="63" customFormat="false" ht="15" hidden="false" customHeight="true" outlineLevel="0" collapsed="false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20"/>
      <c r="L63" s="11"/>
    </row>
    <row r="64" customFormat="false" ht="15" hidden="false" customHeight="true" outlineLevel="0" collapsed="fals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20"/>
      <c r="L64" s="11"/>
    </row>
    <row r="65" customFormat="false" ht="15" hidden="false" customHeight="true" outlineLevel="0" collapsed="false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20"/>
      <c r="L65" s="11"/>
    </row>
    <row r="66" customFormat="false" ht="15" hidden="false" customHeight="tru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20"/>
      <c r="L66" s="11"/>
    </row>
    <row r="67" customFormat="false" ht="15" hidden="false" customHeight="true" outlineLevel="0" collapsed="false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20"/>
      <c r="L67" s="11"/>
    </row>
    <row r="68" customFormat="false" ht="15" hidden="false" customHeight="tru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20"/>
      <c r="L68" s="11"/>
    </row>
    <row r="69" customFormat="false" ht="15" hidden="false" customHeight="true" outlineLevel="0" collapsed="false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20"/>
      <c r="L69" s="11"/>
    </row>
    <row r="70" customFormat="false" ht="15" hidden="false" customHeight="true" outlineLevel="0" collapsed="fals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20"/>
      <c r="L70" s="11"/>
    </row>
    <row r="71" customFormat="false" ht="15" hidden="false" customHeight="true" outlineLevel="0" collapsed="false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20"/>
      <c r="L71" s="11"/>
    </row>
    <row r="72" customFormat="false" ht="15" hidden="false" customHeight="true" outlineLevel="0" collapsed="fals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20"/>
      <c r="L72" s="11"/>
    </row>
    <row r="73" customFormat="false" ht="15" hidden="false" customHeight="true" outlineLevel="0" collapsed="false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20"/>
      <c r="L73" s="11"/>
    </row>
    <row r="74" customFormat="false" ht="15" hidden="false" customHeight="true" outlineLevel="0" collapsed="fals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20"/>
      <c r="L74" s="11"/>
    </row>
    <row r="75" customFormat="false" ht="15" hidden="false" customHeight="true" outlineLevel="0" collapsed="false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20"/>
      <c r="L75" s="11"/>
    </row>
    <row r="76" customFormat="false" ht="15" hidden="false" customHeight="true" outlineLevel="0" collapsed="false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20"/>
      <c r="L76" s="11"/>
    </row>
    <row r="77" customFormat="false" ht="15" hidden="false" customHeight="true" outlineLevel="0" collapsed="fals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20"/>
      <c r="L77" s="11"/>
    </row>
    <row r="78" customFormat="false" ht="15" hidden="false" customHeight="tru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20"/>
      <c r="L78" s="11"/>
    </row>
    <row r="79" customFormat="false" ht="15" hidden="false" customHeight="true" outlineLevel="0" collapsed="false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20"/>
      <c r="L79" s="11"/>
    </row>
    <row r="80" customFormat="false" ht="15" hidden="false" customHeight="true" outlineLevel="0" collapsed="fals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20"/>
      <c r="L80" s="11"/>
    </row>
    <row r="81" customFormat="false" ht="15" hidden="false" customHeight="true" outlineLevel="0" collapsed="false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20"/>
      <c r="L81" s="11"/>
    </row>
    <row r="82" customFormat="false" ht="15" hidden="false" customHeight="tru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20"/>
      <c r="L82" s="11"/>
    </row>
    <row r="83" customFormat="false" ht="15" hidden="false" customHeight="true" outlineLevel="0" collapsed="false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20"/>
      <c r="L83" s="11"/>
    </row>
    <row r="84" customFormat="false" ht="15" hidden="false" customHeight="true" outlineLevel="0" collapsed="fals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20"/>
      <c r="L84" s="11"/>
    </row>
    <row r="85" customFormat="false" ht="15" hidden="false" customHeight="true" outlineLevel="0" collapsed="false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20"/>
      <c r="L85" s="11"/>
    </row>
    <row r="86" customFormat="false" ht="15" hidden="false" customHeight="true" outlineLevel="0" collapsed="false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20"/>
      <c r="L86" s="11"/>
    </row>
    <row r="87" customFormat="false" ht="15" hidden="false" customHeight="true" outlineLevel="0" collapsed="false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20"/>
      <c r="L87" s="11"/>
    </row>
    <row r="88" customFormat="false" ht="15" hidden="false" customHeight="true" outlineLevel="0" collapsed="fals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20"/>
      <c r="L88" s="11"/>
    </row>
    <row r="89" customFormat="false" ht="15" hidden="false" customHeight="true" outlineLevel="0" collapsed="false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20"/>
      <c r="L89" s="11"/>
    </row>
    <row r="90" customFormat="false" ht="15" hidden="false" customHeight="true" outlineLevel="0" collapsed="false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20"/>
      <c r="L90" s="11"/>
    </row>
    <row r="91" customFormat="false" ht="15" hidden="false" customHeight="true" outlineLevel="0" collapsed="false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20"/>
      <c r="L91" s="11"/>
    </row>
    <row r="92" customFormat="false" ht="15" hidden="false" customHeight="true" outlineLevel="0" collapsed="false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20"/>
      <c r="L92" s="11"/>
    </row>
    <row r="93" customFormat="false" ht="15" hidden="false" customHeight="true" outlineLevel="0" collapsed="false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20"/>
      <c r="L93" s="11"/>
    </row>
    <row r="94" customFormat="false" ht="15" hidden="false" customHeight="true" outlineLevel="0" collapsed="false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20"/>
      <c r="L94" s="11"/>
    </row>
    <row r="95" customFormat="false" ht="15" hidden="false" customHeight="true" outlineLevel="0" collapsed="false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20"/>
      <c r="L95" s="11"/>
    </row>
    <row r="96" customFormat="false" ht="15" hidden="false" customHeight="true" outlineLevel="0" collapsed="fals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20"/>
      <c r="L96" s="11"/>
    </row>
    <row r="97" customFormat="false" ht="15" hidden="false" customHeight="true" outlineLevel="0" collapsed="false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20"/>
      <c r="L97" s="11"/>
    </row>
    <row r="98" customFormat="false" ht="15" hidden="false" customHeight="true" outlineLevel="0" collapsed="false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20"/>
      <c r="L98" s="11"/>
    </row>
    <row r="99" customFormat="false" ht="15" hidden="false" customHeight="true" outlineLevel="0" collapsed="false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20"/>
      <c r="L99" s="11"/>
    </row>
    <row r="100" customFormat="false" ht="15" hidden="false" customHeight="tru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20"/>
      <c r="L100" s="11"/>
    </row>
    <row r="101" customFormat="false" ht="15" hidden="false" customHeight="true" outlineLevel="0" collapsed="false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20"/>
      <c r="L101" s="11"/>
    </row>
    <row r="102" customFormat="false" ht="15" hidden="false" customHeight="true" outlineLevel="0" collapsed="false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20"/>
      <c r="L102" s="11"/>
    </row>
    <row r="103" customFormat="false" ht="15" hidden="false" customHeight="true" outlineLevel="0" collapsed="false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20"/>
      <c r="L103" s="11"/>
    </row>
    <row r="104" customFormat="false" ht="15" hidden="false" customHeight="true" outlineLevel="0" collapsed="false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20"/>
      <c r="L104" s="11"/>
    </row>
    <row r="105" customFormat="false" ht="15" hidden="false" customHeight="true" outlineLevel="0" collapsed="false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20"/>
      <c r="L105" s="11"/>
    </row>
  </sheetData>
  <mergeCells count="2">
    <mergeCell ref="A1:L1"/>
    <mergeCell ref="A2:L2"/>
  </mergeCells>
  <dataValidations count="2">
    <dataValidation allowBlank="true" errorStyle="stop" operator="between" showDropDown="false" showErrorMessage="false" showInputMessage="false" sqref="F6:F105" type="list">
      <formula1>"A,C"</formula1>
      <formula2>0</formula2>
    </dataValidation>
    <dataValidation allowBlank="true" errorStyle="stop" operator="between" showDropDown="false" showErrorMessage="false" showInputMessage="false" sqref="G6:J105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30"/>
  </cols>
  <sheetData>
    <row r="1" customFormat="false" ht="17.35" hidden="false" customHeight="false" outlineLevel="0" collapsed="false">
      <c r="A1" s="21" t="s">
        <v>61</v>
      </c>
      <c r="B1" s="21"/>
    </row>
    <row r="2" customFormat="false" ht="15" hidden="false" customHeight="false" outlineLevel="0" collapsed="false">
      <c r="A2" s="22" t="s">
        <v>62</v>
      </c>
      <c r="B2" s="22"/>
      <c r="C2" s="22"/>
      <c r="D2" s="22"/>
    </row>
    <row r="4" customFormat="false" ht="49.5" hidden="false" customHeight="true" outlineLevel="0" collapsed="false">
      <c r="A4" s="23" t="s">
        <v>63</v>
      </c>
      <c r="B4" s="23"/>
      <c r="C4" s="23"/>
      <c r="D4" s="23"/>
    </row>
    <row r="5" customFormat="false" ht="49.5" hidden="false" customHeight="true" outlineLevel="0" collapsed="false">
      <c r="A5" s="23" t="s">
        <v>64</v>
      </c>
      <c r="B5" s="23"/>
      <c r="C5" s="23"/>
      <c r="D5" s="23"/>
    </row>
    <row r="6" customFormat="false" ht="49.5" hidden="false" customHeight="true" outlineLevel="0" collapsed="false">
      <c r="A6" s="23" t="s">
        <v>65</v>
      </c>
      <c r="B6" s="23"/>
      <c r="C6" s="23"/>
      <c r="D6" s="23"/>
    </row>
    <row r="7" customFormat="false" ht="49.5" hidden="false" customHeight="true" outlineLevel="0" collapsed="false">
      <c r="A7" s="23" t="s">
        <v>66</v>
      </c>
      <c r="B7" s="23"/>
      <c r="C7" s="23"/>
      <c r="D7" s="23"/>
    </row>
    <row r="8" customFormat="false" ht="49.5" hidden="false" customHeight="true" outlineLevel="0" collapsed="false">
      <c r="A8" s="23" t="s">
        <v>67</v>
      </c>
      <c r="B8" s="23"/>
      <c r="C8" s="23"/>
      <c r="D8" s="23"/>
    </row>
    <row r="9" customFormat="false" ht="49.5" hidden="false" customHeight="true" outlineLevel="0" collapsed="false">
      <c r="A9" s="23" t="s">
        <v>68</v>
      </c>
      <c r="B9" s="23"/>
      <c r="C9" s="23"/>
      <c r="D9" s="23"/>
    </row>
    <row r="10" customFormat="false" ht="49.5" hidden="false" customHeight="true" outlineLevel="0" collapsed="false">
      <c r="A10" s="23" t="s">
        <v>69</v>
      </c>
      <c r="B10" s="23"/>
      <c r="C10" s="23"/>
      <c r="D10" s="23"/>
    </row>
    <row r="11" customFormat="false" ht="49.5" hidden="false" customHeight="true" outlineLevel="0" collapsed="false">
      <c r="A11" s="23" t="s">
        <v>70</v>
      </c>
      <c r="B11" s="23"/>
      <c r="C11" s="23"/>
      <c r="D11" s="23"/>
    </row>
    <row r="12" customFormat="false" ht="49.5" hidden="false" customHeight="true" outlineLevel="0" collapsed="false">
      <c r="A12" s="23" t="s">
        <v>71</v>
      </c>
      <c r="B12" s="23"/>
      <c r="C12" s="23"/>
      <c r="D12" s="23"/>
    </row>
    <row r="14" customFormat="false" ht="45" hidden="false" customHeight="true" outlineLevel="0" collapsed="false">
      <c r="A14" s="24" t="s">
        <v>72</v>
      </c>
      <c r="B14" s="24"/>
      <c r="C14" s="24"/>
      <c r="D14" s="24"/>
    </row>
  </sheetData>
  <mergeCells count="12">
    <mergeCell ref="A1:B1"/>
    <mergeCell ref="A2:D2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2026-09-12T21:14:12Z</dcterms:created>
  <dc:creator>openpyxl</dc:creator>
  <dc:description/>
  <dc:language>en-US</dc:language>
  <cp:lastModifiedBy/>
  <dcterms:modified xsi:type="dcterms:W3CDTF">2026-09-13T08:50:59Z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